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ab3323b8a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58dbbab4664e414b"/>
    <x:sheet xmlns:r="http://schemas.openxmlformats.org/officeDocument/2006/relationships" name="Build Notes" sheetId="2" r:id="R3f8d07d6d7104d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10"/>
      <x:color rgb="FF111827"/>
      <x:name val="Arial"/>
    </x:font>
    <x:font>
      <x:sz val="9"/>
      <x:color rgb="FF47556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</x:fills>
  <x:borders count="13">
    <x:border/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1" xfId="0" applyNumberFormat="1" applyFont="1" applyFill="1" applyBorder="1" applyAlignment="1">
      <x:alignment horizontal="right"/>
    </x:xf>
    <x:xf numFmtId="0" fontId="6" fillId="4" borderId="2" xfId="0" applyNumberFormat="1" applyFont="1" applyFill="1" applyBorder="1" applyAlignment="1">
      <x:alignment horizontal="right"/>
    </x:xf>
    <x:xf numFmtId="0" fontId="6" fillId="4" borderId="3" xfId="0" applyNumberFormat="1" applyFont="1" applyFill="1" applyBorder="1" applyAlignment="1">
      <x:alignment horizontal="right"/>
    </x:xf>
    <x:xf numFmtId="0" fontId="6" fillId="5" borderId="1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6" borderId="7" xfId="0" applyNumberFormat="1" applyFont="1" applyFill="1" applyBorder="1"/>
    <x:xf numFmtId="0" fontId="1" fillId="6" borderId="8" xfId="0" applyNumberFormat="1" applyFont="1" applyFill="1" applyBorder="1"/>
    <x:xf numFmtId="0" fontId="1" fillId="6" borderId="9" xfId="0" applyNumberFormat="1" applyFont="1" applyFill="1" applyBorder="1"/>
    <x:xf numFmtId="0" fontId="1" fillId="6" borderId="10" xfId="0" applyNumberFormat="1" applyFont="1" applyFill="1" applyBorder="1"/>
    <x:xf numFmtId="0" fontId="1" fillId="6" borderId="11" xfId="0" applyNumberFormat="1" applyFont="1" applyFill="1" applyBorder="1"/>
    <x:xf numFmtId="0" fontId="1" fillId="6" borderId="12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/>
    </x:xf>
    <x:xf numFmtId="0" fontId="5" fillId="3" borderId="1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5" fillId="3" borderId="4" xfId="0" applyNumberFormat="1" applyFont="1" applyFill="1" applyBorder="1" applyAlignment="1">
      <x:alignment horizontal="center"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horizontal="center"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horizontal="center"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d85e7417fb44ba" /><Relationship Type="http://schemas.openxmlformats.org/officeDocument/2006/relationships/theme" Target="/xl/theme/theme1.xml" Id="R78e4f4dc823c470d" /><Relationship Type="http://schemas.openxmlformats.org/officeDocument/2006/relationships/sharedStrings" Target="/xl/sharedStrings.xml" Id="Ra003fd6bcb524bd5" /><Relationship Type="http://schemas.openxmlformats.org/officeDocument/2006/relationships/worksheet" Target="/xl/worksheets/sheet1.xml" Id="R58dbbab4664e414b" /><Relationship Type="http://schemas.openxmlformats.org/officeDocument/2006/relationships/worksheet" Target="/xl/worksheets/sheet2.xml" Id="R3f8d07d6d7104da3" /></Relationships>
</file>

<file path=xl/tables/table1.xml><?xml version="1.0" encoding="utf-8"?>
<x:table xmlns:x="http://schemas.openxmlformats.org/spreadsheetml/2006/main" id="1" name="HardwareBOM" displayName="HardwareBOM" ref="A5:I40" headerRowCount="1" totalsRowCount="0" totalsRowShown="0">
  <x:autoFilter ref="A5:I40"/>
  <x:tableColumns count="9">
    <x:tableColumn id="1" name="Value"/>
    <x:tableColumn id="2" name="Designators"/>
    <x:tableColumn id="3" name="Package"/>
    <x:tableColumn id="4" name="LCSC Part #"/>
    <x:tableColumn id="5" name="Qty / PCB"/>
    <x:tableColumn id="6" name="Manufacturer"/>
    <x:tableColumn id="7" name="Manufacturer Part #"/>
    <x:tableColumn id="8" name="Assembly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2cb6bd18af49b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8" hidden="0" customWidth="1"/>
    <x:col min="3" max="3" width="20" hidden="0" customWidth="1"/>
    <x:col min="4" max="4" width="15" hidden="0" customWidth="1"/>
    <x:col min="5" max="5" width="11" hidden="0" customWidth="1"/>
    <x:col min="6" max="6" width="23" hidden="0" customWidth="1"/>
    <x:col min="7" max="7" width="28" hidden="0" customWidth="1"/>
    <x:col min="8" max="8" width="14" hidden="0" customWidth="1"/>
    <x:col min="9" max="9" width="46" hidden="0" customWidth="1"/>
    <x:col min="10" max="10" width="3" hidden="0" customWidth="1"/>
    <x:col min="11" max="11" width="20" hidden="0" customWidth="1"/>
    <x:col min="12" max="12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6" customHeight="1">
      <x:c r="A2" s="3" t="str">
        <x:v>SMS Forwarder Board — Rev 1.0 BOM</x:v>
      </x:c>
      <x:c r="B2" s="3"/>
      <x:c r="C2" s="3"/>
      <x:c r="D2" s="3"/>
      <x:c r="E2" s="3"/>
      <x:c r="F2" s="3"/>
      <x:c r="G2" s="3"/>
      <x:c r="H2" s="3"/>
      <x:c r="I2" s="3"/>
      <x:c r="J2" s="3"/>
      <x:c r="K2" s="12" t="str">
        <x:v>Build summary</x:v>
      </x:c>
      <x:c r="L2" s="12" t="str">
        <x:v>Value</x:v>
      </x:c>
    </x:row>
    <x:row r="3" ht="20" customHeight="1">
      <x:c r="A3" s="4" t="str">
        <x:v>ESP32-C3-MINI-1 + ML307A 94-pin engineering sample. Quantities are per assembled PCB.</x:v>
      </x:c>
      <x:c r="B3" s="4"/>
      <x:c r="C3" s="4"/>
      <x:c r="D3" s="4"/>
      <x:c r="E3" s="4"/>
      <x:c r="F3" s="4"/>
      <x:c r="G3" s="4"/>
      <x:c r="H3" s="4"/>
      <x:c r="I3" s="4"/>
      <x:c r="J3" s="1"/>
      <x:c r="K3" s="14" t="str">
        <x:v>Planned PCB qty</x:v>
      </x:c>
      <x:c r="L3" s="23" t="n">
        <x:v>5</x:v>
      </x:c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4" t="str">
        <x:v>SMT parts / PCB</x:v>
      </x:c>
      <x:c r="L4" s="21" t="n">
        <x:f>SUMIF(H6:H40,"SMT",E6:E40)</x:f>
        <x:v>56</x:v>
      </x:c>
    </x:row>
    <x:row r="5" ht="28" customHeight="1">
      <x:c r="A5" s="9" t="str">
        <x:v>Value</x:v>
      </x:c>
      <x:c r="B5" s="9" t="str">
        <x:v>Designators</x:v>
      </x:c>
      <x:c r="C5" s="9" t="str">
        <x:v>Package</x:v>
      </x:c>
      <x:c r="D5" s="9" t="str">
        <x:v>LCSC Part #</x:v>
      </x:c>
      <x:c r="E5" s="9" t="str">
        <x:v>Qty / PCB</x:v>
      </x:c>
      <x:c r="F5" s="9" t="str">
        <x:v>Manufacturer</x:v>
      </x:c>
      <x:c r="G5" s="9" t="str">
        <x:v>Manufacturer Part #</x:v>
      </x:c>
      <x:c r="H5" s="9" t="str">
        <x:v>Assembly</x:v>
      </x:c>
      <x:c r="I5" s="9" t="str">
        <x:v>Notes</x:v>
      </x:c>
      <x:c r="J5" s="1"/>
      <x:c r="K5" s="14" t="str">
        <x:v>SMT placements</x:v>
      </x:c>
      <x:c r="L5" s="21" t="n">
        <x:f>L3*L4</x:f>
        <x:v>280</x:v>
      </x:c>
    </x:row>
    <x:row r="6" ht="22" customHeight="1">
      <x:c r="A6" s="27" t="str">
        <x:v>ESP32-C3-MINI-1-N4</x:v>
      </x:c>
      <x:c r="B6" s="27" t="str">
        <x:v>U1</x:v>
      </x:c>
      <x:c r="C6" s="27" t="str">
        <x:v>SMD 13.2x16.6 mm</x:v>
      </x:c>
      <x:c r="D6" s="27" t="str">
        <x:v>C2838502</x:v>
      </x:c>
      <x:c r="E6" s="28" t="n">
        <x:v>1</x:v>
      </x:c>
      <x:c r="F6" s="27" t="str">
        <x:v>Espressif</x:v>
      </x:c>
      <x:c r="G6" s="27" t="str">
        <x:v>ESP32-C3-MINI-1-N4</x:v>
      </x:c>
      <x:c r="H6" s="27" t="str">
        <x:v>SMT</x:v>
      </x:c>
      <x:c r="I6" s="29" t="str"/>
      <x:c r="J6" s="1"/>
      <x:c r="K6" s="14" t="str">
        <x:v>Manual / DNP lines</x:v>
      </x:c>
      <x:c r="L6" s="21" t="n">
        <x:f>COUNTIF(H6:H40,"&lt;&gt;SMT")</x:f>
        <x:v>3</x:v>
      </x:c>
    </x:row>
    <x:row r="7" ht="22" customHeight="1">
      <x:c r="A7" s="27" t="str">
        <x:v>ML307A-DSLN</x:v>
      </x:c>
      <x:c r="B7" s="27" t="str">
        <x:v>U2</x:v>
      </x:c>
      <x:c r="C7" s="27" t="str">
        <x:v>LGA-94 17.7x15.8 mm</x:v>
      </x:c>
      <x:c r="D7" s="27" t="str">
        <x:v>C5375091</x:v>
      </x:c>
      <x:c r="E7" s="28" t="n">
        <x:v>1</x:v>
      </x:c>
      <x:c r="F7" s="27" t="str">
        <x:v>China Mobile IoT</x:v>
      </x:c>
      <x:c r="G7" s="27" t="str">
        <x:v>ML307A-DSLN</x:v>
      </x:c>
      <x:c r="H7" s="27" t="str">
        <x:v>SMT</x:v>
      </x:c>
      <x:c r="I7" s="29" t="str">
        <x:v>Alternative: ML307A-DCLN / C5362285. Do not fit ML307C/Y on this PCB revision.</x:v>
      </x:c>
      <x:c r="J7" s="1"/>
      <x:c r="K7" s="14" t="str">
        <x:v>PCB size</x:v>
      </x:c>
      <x:c r="L7" s="22" t="str">
        <x:v>40 × 84 mm</x:v>
      </x:c>
    </x:row>
    <x:row r="8" ht="22" customHeight="1">
      <x:c r="A8" s="27" t="str">
        <x:v>SY8205FCC</x:v>
      </x:c>
      <x:c r="B8" s="27" t="str">
        <x:v>U3</x:v>
      </x:c>
      <x:c r="C8" s="27" t="str">
        <x:v>SOIC-8-EP</x:v>
      </x:c>
      <x:c r="D8" s="27" t="str">
        <x:v>C111875</x:v>
      </x:c>
      <x:c r="E8" s="28" t="n">
        <x:v>1</x:v>
      </x:c>
      <x:c r="F8" s="27" t="str">
        <x:v>Silergy</x:v>
      </x:c>
      <x:c r="G8" s="27" t="str">
        <x:v>SY8205FCC</x:v>
      </x:c>
      <x:c r="H8" s="27" t="str">
        <x:v>SMT</x:v>
      </x:c>
      <x:c r="I8" s="29" t="str"/>
      <x:c r="J8" s="1"/>
      <x:c r="K8" s="1"/>
      <x:c r="L8" s="1"/>
    </x:row>
    <x:row r="9" ht="22" customHeight="1">
      <x:c r="A9" s="27" t="str">
        <x:v>AP2112K-3.3</x:v>
      </x:c>
      <x:c r="B9" s="27" t="str">
        <x:v>U4</x:v>
      </x:c>
      <x:c r="C9" s="27" t="str">
        <x:v>SOT-23-5</x:v>
      </x:c>
      <x:c r="D9" s="27" t="str">
        <x:v>C51118</x:v>
      </x:c>
      <x:c r="E9" s="28" t="n">
        <x:v>1</x:v>
      </x:c>
      <x:c r="F9" s="27" t="str">
        <x:v>Diodes Incorporated</x:v>
      </x:c>
      <x:c r="G9" s="27" t="str">
        <x:v>AP2112K-3.3TRG1</x:v>
      </x:c>
      <x:c r="H9" s="27" t="str">
        <x:v>SMT</x:v>
      </x:c>
      <x:c r="I9" s="29" t="str"/>
      <x:c r="J9" s="1"/>
      <x:c r="K9" s="1"/>
      <x:c r="L9" s="1"/>
    </x:row>
    <x:row r="10" ht="22" customHeight="1">
      <x:c r="A10" s="27" t="str">
        <x:v>TXU0202</x:v>
      </x:c>
      <x:c r="B10" s="27" t="str">
        <x:v>U5</x:v>
      </x:c>
      <x:c r="C10" s="27" t="str">
        <x:v>VSSOP-8</x:v>
      </x:c>
      <x:c r="D10" s="27" t="str">
        <x:v>C5186957</x:v>
      </x:c>
      <x:c r="E10" s="28" t="n">
        <x:v>1</x:v>
      </x:c>
      <x:c r="F10" s="27" t="str">
        <x:v>Texas Instruments</x:v>
      </x:c>
      <x:c r="G10" s="27" t="str">
        <x:v>TXU0202DCUR</x:v>
      </x:c>
      <x:c r="H10" s="27" t="str">
        <x:v>SMT</x:v>
      </x:c>
      <x:c r="I10" s="29" t="str"/>
      <x:c r="J10" s="1"/>
      <x:c r="K10" s="1"/>
      <x:c r="L10" s="1"/>
    </x:row>
    <x:row r="11" ht="22" customHeight="1">
      <x:c r="A11" s="27" t="str">
        <x:v>USBLC6-2SC6</x:v>
      </x:c>
      <x:c r="B11" s="27" t="str">
        <x:v>U6</x:v>
      </x:c>
      <x:c r="C11" s="27" t="str">
        <x:v>SOT-23-6</x:v>
      </x:c>
      <x:c r="D11" s="27" t="str">
        <x:v>C2687116</x:v>
      </x:c>
      <x:c r="E11" s="28" t="n">
        <x:v>1</x:v>
      </x:c>
      <x:c r="F11" s="27" t="str">
        <x:v>UMW</x:v>
      </x:c>
      <x:c r="G11" s="27" t="str">
        <x:v>USBLC6-2SC6</x:v>
      </x:c>
      <x:c r="H11" s="27" t="str">
        <x:v>SMT</x:v>
      </x:c>
      <x:c r="I11" s="29" t="str"/>
      <x:c r="J11" s="1"/>
      <x:c r="K11" s="1"/>
      <x:c r="L11" s="1"/>
    </x:row>
    <x:row r="12" ht="22" customHeight="1">
      <x:c r="A12" s="27" t="str">
        <x:v>SRV05-4</x:v>
      </x:c>
      <x:c r="B12" s="27" t="str">
        <x:v>U7</x:v>
      </x:c>
      <x:c r="C12" s="27" t="str">
        <x:v>SOT-23-6</x:v>
      </x:c>
      <x:c r="D12" s="27" t="str">
        <x:v>C558418</x:v>
      </x:c>
      <x:c r="E12" s="28" t="n">
        <x:v>1</x:v>
      </x:c>
      <x:c r="F12" s="27" t="str">
        <x:v>TECH PUBLIC</x:v>
      </x:c>
      <x:c r="G12" s="27" t="str">
        <x:v>SRV05-4</x:v>
      </x:c>
      <x:c r="H12" s="27" t="str">
        <x:v>SMT</x:v>
      </x:c>
      <x:c r="I12" s="29" t="str"/>
      <x:c r="J12" s="1"/>
      <x:c r="K12" s="1"/>
      <x:c r="L12" s="1"/>
    </x:row>
    <x:row r="13" ht="22" customHeight="1">
      <x:c r="A13" s="27" t="str">
        <x:v>USB-A male</x:v>
      </x:c>
      <x:c r="B13" s="27" t="str">
        <x:v>J1</x:v>
      </x:c>
      <x:c r="C13" s="27" t="str">
        <x:v>THT</x:v>
      </x:c>
      <x:c r="D13" s="27" t="str">
        <x:v>C404965</x:v>
      </x:c>
      <x:c r="E13" s="28" t="n">
        <x:v>1</x:v>
      </x:c>
      <x:c r="F13" s="27" t="str">
        <x:v>Korean Hroparts Elec</x:v>
      </x:c>
      <x:c r="G13" s="27" t="str">
        <x:v>AM90</x:v>
      </x:c>
      <x:c r="H13" s="27" t="str">
        <x:v>THT/manual</x:v>
      </x:c>
      <x:c r="I13" s="29" t="str"/>
      <x:c r="J13" s="1"/>
      <x:c r="K13" s="1"/>
      <x:c r="L13" s="1"/>
    </x:row>
    <x:row r="14" ht="22" customHeight="1">
      <x:c r="A14" s="27" t="str">
        <x:v>Nano SIM</x:v>
      </x:c>
      <x:c r="B14" s="27" t="str">
        <x:v>J2</x:v>
      </x:c>
      <x:c r="C14" s="27" t="str">
        <x:v>SMD 1.45 mm</x:v>
      </x:c>
      <x:c r="D14" s="27" t="str">
        <x:v>C53200251</x:v>
      </x:c>
      <x:c r="E14" s="28" t="n">
        <x:v>1</x:v>
      </x:c>
      <x:c r="F14" s="27" t="str">
        <x:v>XYECONN</x:v>
      </x:c>
      <x:c r="G14" s="27" t="str">
        <x:v>NANO SIM 6PIN 1.45H</x:v>
      </x:c>
      <x:c r="H14" s="27" t="str">
        <x:v>SMT</x:v>
      </x:c>
      <x:c r="I14" s="29" t="str"/>
      <x:c r="J14" s="1"/>
      <x:c r="K14" s="1"/>
      <x:c r="L14" s="1"/>
    </x:row>
    <x:row r="15" ht="22" customHeight="1">
      <x:c r="A15" s="27" t="str">
        <x:v>U.FL</x:v>
      </x:c>
      <x:c r="B15" s="27" t="str">
        <x:v>J3,J4</x:v>
      </x:c>
      <x:c r="C15" s="27" t="str">
        <x:v>SMD</x:v>
      </x:c>
      <x:c r="D15" s="27" t="str">
        <x:v>C88373</x:v>
      </x:c>
      <x:c r="E15" s="28" t="n">
        <x:v>2</x:v>
      </x:c>
      <x:c r="F15" s="27" t="str">
        <x:v>Hirose</x:v>
      </x:c>
      <x:c r="G15" s="27" t="str">
        <x:v>U.FL-R-SMT-1(10)</x:v>
      </x:c>
      <x:c r="H15" s="27" t="str">
        <x:v>SMT</x:v>
      </x:c>
      <x:c r="I15" s="29" t="str"/>
      <x:c r="J15" s="1"/>
      <x:c r="K15" s="1"/>
      <x:c r="L15" s="1"/>
    </x:row>
    <x:row r="16" ht="22" customHeight="1">
      <x:c r="A16" s="27" t="str">
        <x:v>2 A PTC</x:v>
      </x:c>
      <x:c r="B16" s="27" t="str">
        <x:v>F1</x:v>
      </x:c>
      <x:c r="C16" s="27" t="str">
        <x:v>1206</x:v>
      </x:c>
      <x:c r="D16" s="27" t="str">
        <x:v>C70167</x:v>
      </x:c>
      <x:c r="E16" s="28" t="n">
        <x:v>1</x:v>
      </x:c>
      <x:c r="F16" s="27" t="str">
        <x:v>TECHFUSE</x:v>
      </x:c>
      <x:c r="G16" s="27" t="str">
        <x:v>SL1206200</x:v>
      </x:c>
      <x:c r="H16" s="27" t="str">
        <x:v>SMT</x:v>
      </x:c>
      <x:c r="I16" s="29" t="str"/>
      <x:c r="J16" s="1"/>
      <x:c r="K16" s="1"/>
      <x:c r="L16" s="1"/>
    </x:row>
    <x:row r="17" ht="22" customHeight="1">
      <x:c r="A17" s="27" t="str">
        <x:v>4.7 uH</x:v>
      </x:c>
      <x:c r="B17" s="27" t="str">
        <x:v>L1</x:v>
      </x:c>
      <x:c r="C17" s="27" t="str">
        <x:v>7.0x6.6 mm</x:v>
      </x:c>
      <x:c r="D17" s="27" t="str">
        <x:v>C5307631</x:v>
      </x:c>
      <x:c r="E17" s="28" t="n">
        <x:v>1</x:v>
      </x:c>
      <x:c r="F17" s="27" t="str">
        <x:v>XR</x:v>
      </x:c>
      <x:c r="G17" s="27" t="str">
        <x:v>XR0630-4R7M</x:v>
      </x:c>
      <x:c r="H17" s="27" t="str">
        <x:v>SMT</x:v>
      </x:c>
      <x:c r="I17" s="29" t="str"/>
      <x:c r="J17" s="1"/>
      <x:c r="K17" s="1"/>
      <x:c r="L17" s="1"/>
    </x:row>
    <x:row r="18" ht="22" customHeight="1">
      <x:c r="A18" s="27" t="str">
        <x:v>220 uF 6.3 V</x:v>
      </x:c>
      <x:c r="B18" s="27" t="str">
        <x:v>C5,C6</x:v>
      </x:c>
      <x:c r="C18" s="27" t="str">
        <x:v>D5xL5.3 mm</x:v>
      </x:c>
      <x:c r="D18" s="27" t="str">
        <x:v>C2162607</x:v>
      </x:c>
      <x:c r="E18" s="28" t="n">
        <x:v>2</x:v>
      </x:c>
      <x:c r="F18" s="27" t="str">
        <x:v>Nippon Chemi-Con</x:v>
      </x:c>
      <x:c r="G18" s="27" t="str">
        <x:v>APXF6R3ARA221ME61G</x:v>
      </x:c>
      <x:c r="H18" s="27" t="str">
        <x:v>SMT</x:v>
      </x:c>
      <x:c r="I18" s="29" t="str"/>
      <x:c r="J18" s="1"/>
      <x:c r="K18" s="1"/>
      <x:c r="L18" s="1"/>
    </x:row>
    <x:row r="19" ht="22" customHeight="1">
      <x:c r="A19" s="27" t="str">
        <x:v>22 uF 10 V</x:v>
      </x:c>
      <x:c r="B19" s="27" t="str">
        <x:v>C1,C2</x:v>
      </x:c>
      <x:c r="C19" s="27" t="str">
        <x:v>0805</x:v>
      </x:c>
      <x:c r="D19" s="27" t="str">
        <x:v>C45783</x:v>
      </x:c>
      <x:c r="E19" s="28" t="n">
        <x:v>2</x:v>
      </x:c>
      <x:c r="F19" s="27" t="str">
        <x:v>Samsung</x:v>
      </x:c>
      <x:c r="G19" s="27" t="str">
        <x:v>CL21A226MPQNNNE</x:v>
      </x:c>
      <x:c r="H19" s="27" t="str">
        <x:v>SMT</x:v>
      </x:c>
      <x:c r="I19" s="29" t="str"/>
      <x:c r="J19" s="1"/>
      <x:c r="K19" s="1"/>
      <x:c r="L19" s="1"/>
    </x:row>
    <x:row r="20" ht="22" customHeight="1">
      <x:c r="A20" s="27" t="str">
        <x:v>47 uF 6.3 V</x:v>
      </x:c>
      <x:c r="B20" s="27" t="str">
        <x:v>C3,C4</x:v>
      </x:c>
      <x:c r="C20" s="27" t="str">
        <x:v>0805</x:v>
      </x:c>
      <x:c r="D20" s="27" t="str">
        <x:v>C96123</x:v>
      </x:c>
      <x:c r="E20" s="28" t="n">
        <x:v>2</x:v>
      </x:c>
      <x:c r="F20" s="27" t="str">
        <x:v>Samsung</x:v>
      </x:c>
      <x:c r="G20" s="27" t="str">
        <x:v>CL21A476MQYNNNE</x:v>
      </x:c>
      <x:c r="H20" s="27" t="str">
        <x:v>SMT</x:v>
      </x:c>
      <x:c r="I20" s="29" t="str"/>
      <x:c r="J20" s="1"/>
      <x:c r="K20" s="1"/>
      <x:c r="L20" s="1"/>
    </x:row>
    <x:row r="21" ht="22" customHeight="1">
      <x:c r="A21" s="27" t="str">
        <x:v>10 uF 10 V</x:v>
      </x:c>
      <x:c r="B21" s="27" t="str">
        <x:v>C11,C12</x:v>
      </x:c>
      <x:c r="C21" s="27" t="str">
        <x:v>0603</x:v>
      </x:c>
      <x:c r="D21" s="27" t="str">
        <x:v>C19702</x:v>
      </x:c>
      <x:c r="E21" s="28" t="n">
        <x:v>2</x:v>
      </x:c>
      <x:c r="F21" s="27" t="str">
        <x:v>Samsung</x:v>
      </x:c>
      <x:c r="G21" s="27" t="str">
        <x:v>CL10A106KP8NNNC</x:v>
      </x:c>
      <x:c r="H21" s="27" t="str">
        <x:v>SMT</x:v>
      </x:c>
      <x:c r="I21" s="29" t="str"/>
      <x:c r="J21" s="1"/>
      <x:c r="K21" s="1"/>
      <x:c r="L21" s="1"/>
    </x:row>
    <x:row r="22" ht="22" customHeight="1">
      <x:c r="A22" s="27" t="str">
        <x:v>100 nF</x:v>
      </x:c>
      <x:c r="B22" s="27" t="str">
        <x:v>C8,C13,C14,C16,C17,C18</x:v>
      </x:c>
      <x:c r="C22" s="27" t="str">
        <x:v>0402</x:v>
      </x:c>
      <x:c r="D22" s="27" t="str">
        <x:v>C1525</x:v>
      </x:c>
      <x:c r="E22" s="28" t="n">
        <x:v>6</x:v>
      </x:c>
      <x:c r="F22" s="27" t="str">
        <x:v>Samsung</x:v>
      </x:c>
      <x:c r="G22" s="27" t="str">
        <x:v>CL05B104KO5NNNC</x:v>
      </x:c>
      <x:c r="H22" s="27" t="str">
        <x:v>SMT</x:v>
      </x:c>
      <x:c r="I22" s="29" t="str"/>
      <x:c r="J22" s="1"/>
      <x:c r="K22" s="1"/>
      <x:c r="L22" s="1"/>
    </x:row>
    <x:row r="23" ht="22" customHeight="1">
      <x:c r="A23" s="27" t="str">
        <x:v>10 nF</x:v>
      </x:c>
      <x:c r="B23" s="27" t="str">
        <x:v>C9</x:v>
      </x:c>
      <x:c r="C23" s="27" t="str">
        <x:v>0402</x:v>
      </x:c>
      <x:c r="D23" s="27" t="str">
        <x:v>C15195</x:v>
      </x:c>
      <x:c r="E23" s="28" t="n">
        <x:v>1</x:v>
      </x:c>
      <x:c r="F23" s="27" t="str">
        <x:v>Samsung</x:v>
      </x:c>
      <x:c r="G23" s="27" t="str">
        <x:v>CL05B103KB5NNNC</x:v>
      </x:c>
      <x:c r="H23" s="27" t="str">
        <x:v>SMT</x:v>
      </x:c>
      <x:c r="I23" s="29" t="str"/>
      <x:c r="J23" s="1"/>
      <x:c r="K23" s="1"/>
      <x:c r="L23" s="1"/>
    </x:row>
    <x:row r="24" ht="22" customHeight="1">
      <x:c r="A24" s="27" t="str">
        <x:v>1 uF</x:v>
      </x:c>
      <x:c r="B24" s="27" t="str">
        <x:v>C10</x:v>
      </x:c>
      <x:c r="C24" s="27" t="str">
        <x:v>0402</x:v>
      </x:c>
      <x:c r="D24" s="27" t="str">
        <x:v>C52923</x:v>
      </x:c>
      <x:c r="E24" s="28" t="n">
        <x:v>1</x:v>
      </x:c>
      <x:c r="F24" s="27" t="str">
        <x:v>Samsung</x:v>
      </x:c>
      <x:c r="G24" s="27" t="str">
        <x:v>CL05A105KA5NNNC</x:v>
      </x:c>
      <x:c r="H24" s="27" t="str">
        <x:v>SMT</x:v>
      </x:c>
      <x:c r="I24" s="29" t="str"/>
      <x:c r="J24" s="1"/>
      <x:c r="K24" s="1"/>
      <x:c r="L24" s="1"/>
    </x:row>
    <x:row r="25" ht="22" customHeight="1">
      <x:c r="A25" s="27" t="str">
        <x:v>1 uF</x:v>
      </x:c>
      <x:c r="B25" s="27" t="str">
        <x:v>C15</x:v>
      </x:c>
      <x:c r="C25" s="27" t="str">
        <x:v>0402</x:v>
      </x:c>
      <x:c r="D25" s="27" t="str">
        <x:v>C52923</x:v>
      </x:c>
      <x:c r="E25" s="28" t="n">
        <x:v>1</x:v>
      </x:c>
      <x:c r="F25" s="27" t="str">
        <x:v>Samsung</x:v>
      </x:c>
      <x:c r="G25" s="27" t="str">
        <x:v>CL05A105KA5NNNC</x:v>
      </x:c>
      <x:c r="H25" s="27" t="str">
        <x:v>SMT</x:v>
      </x:c>
      <x:c r="I25" s="29" t="str"/>
      <x:c r="J25" s="1"/>
      <x:c r="K25" s="1"/>
      <x:c r="L25" s="1"/>
    </x:row>
    <x:row r="26" ht="22" customHeight="1">
      <x:c r="A26" s="27" t="str">
        <x:v>22 pF</x:v>
      </x:c>
      <x:c r="B26" s="27" t="str">
        <x:v>C7</x:v>
      </x:c>
      <x:c r="C26" s="27" t="str">
        <x:v>0402</x:v>
      </x:c>
      <x:c r="D26" s="27" t="str">
        <x:v>C1555</x:v>
      </x:c>
      <x:c r="E26" s="28" t="n">
        <x:v>1</x:v>
      </x:c>
      <x:c r="F26" s="27" t="str">
        <x:v>Samsung</x:v>
      </x:c>
      <x:c r="G26" s="27" t="str">
        <x:v>CL05C220JB5NNNC</x:v>
      </x:c>
      <x:c r="H26" s="27" t="str">
        <x:v>SMT</x:v>
      </x:c>
      <x:c r="I26" s="29" t="str"/>
      <x:c r="J26" s="1"/>
      <x:c r="K26" s="1"/>
      <x:c r="L26" s="1"/>
    </x:row>
    <x:row r="27" ht="22" customHeight="1">
      <x:c r="A27" s="27" t="str">
        <x:v>33 pF</x:v>
      </x:c>
      <x:c r="B27" s="27" t="str">
        <x:v>C19,C20,C21,C22</x:v>
      </x:c>
      <x:c r="C27" s="27" t="str">
        <x:v>0402</x:v>
      </x:c>
      <x:c r="D27" s="27" t="str">
        <x:v>C1562</x:v>
      </x:c>
      <x:c r="E27" s="28" t="n">
        <x:v>4</x:v>
      </x:c>
      <x:c r="F27" s="27" t="str">
        <x:v>Samsung</x:v>
      </x:c>
      <x:c r="G27" s="27" t="str">
        <x:v>CL05C330JB5NNNC</x:v>
      </x:c>
      <x:c r="H27" s="27" t="str">
        <x:v>SMT</x:v>
      </x:c>
      <x:c r="I27" s="29" t="str"/>
      <x:c r="J27" s="1"/>
      <x:c r="K27" s="1"/>
      <x:c r="L27" s="1"/>
    </x:row>
    <x:row r="28" ht="22" customHeight="1">
      <x:c r="A28" s="27" t="str">
        <x:v>DNP</x:v>
      </x:c>
      <x:c r="B28" s="27" t="str">
        <x:v>C23,C24,C25,C26</x:v>
      </x:c>
      <x:c r="C28" s="27" t="str">
        <x:v>0402</x:v>
      </x:c>
      <x:c r="D28" s="27" t="str"/>
      <x:c r="E28" s="28" t="n">
        <x:v>4</x:v>
      </x:c>
      <x:c r="F28" s="27" t="str">
        <x:v>-</x:v>
      </x:c>
      <x:c r="G28" s="27" t="str">
        <x:v>DNP</x:v>
      </x:c>
      <x:c r="H28" s="27" t="str">
        <x:v>DNP</x:v>
      </x:c>
      <x:c r="I28" s="29" t="str">
        <x:v>Select after antenna/VNA validation.</x:v>
      </x:c>
      <x:c r="J28" s="1"/>
      <x:c r="K28" s="1"/>
      <x:c r="L28" s="1"/>
    </x:row>
    <x:row r="29" ht="22" customHeight="1">
      <x:c r="A29" s="27" t="str">
        <x:v>536 k</x:v>
      </x:c>
      <x:c r="B29" s="27" t="str">
        <x:v>R1</x:v>
      </x:c>
      <x:c r="C29" s="27" t="str">
        <x:v>0402</x:v>
      </x:c>
      <x:c r="D29" s="27" t="str">
        <x:v>C72998</x:v>
      </x:c>
      <x:c r="E29" s="28" t="n">
        <x:v>1</x:v>
      </x:c>
      <x:c r="F29" s="27" t="str">
        <x:v>UNI-ROYAL</x:v>
      </x:c>
      <x:c r="G29" s="27" t="str">
        <x:v>0402WGF5363TCE</x:v>
      </x:c>
      <x:c r="H29" s="27" t="str">
        <x:v>SMT</x:v>
      </x:c>
      <x:c r="I29" s="29" t="str"/>
      <x:c r="J29" s="1"/>
      <x:c r="K29" s="1"/>
      <x:c r="L29" s="1"/>
    </x:row>
    <x:row r="30" ht="22" customHeight="1">
      <x:c r="A30" s="27" t="str">
        <x:v>100 k</x:v>
      </x:c>
      <x:c r="B30" s="27" t="str">
        <x:v>R2</x:v>
      </x:c>
      <x:c r="C30" s="27" t="str">
        <x:v>0402</x:v>
      </x:c>
      <x:c r="D30" s="27" t="str">
        <x:v>C25741</x:v>
      </x:c>
      <x:c r="E30" s="28" t="n">
        <x:v>1</x:v>
      </x:c>
      <x:c r="F30" s="27" t="str">
        <x:v>UNI-ROYAL</x:v>
      </x:c>
      <x:c r="G30" s="27" t="str">
        <x:v>0402WGF1003TCE</x:v>
      </x:c>
      <x:c r="H30" s="27" t="str">
        <x:v>SMT</x:v>
      </x:c>
      <x:c r="I30" s="29" t="str"/>
      <x:c r="J30" s="1"/>
      <x:c r="K30" s="1"/>
      <x:c r="L30" s="1"/>
    </x:row>
    <x:row r="31" ht="22" customHeight="1">
      <x:c r="A31" s="27" t="str">
        <x:v>10 k</x:v>
      </x:c>
      <x:c r="B31" s="27" t="str">
        <x:v>R3,R4,R6,R13</x:v>
      </x:c>
      <x:c r="C31" s="27" t="str">
        <x:v>0402</x:v>
      </x:c>
      <x:c r="D31" s="27" t="str">
        <x:v>C25744</x:v>
      </x:c>
      <x:c r="E31" s="28" t="n">
        <x:v>4</x:v>
      </x:c>
      <x:c r="F31" s="27" t="str">
        <x:v>UNI-ROYAL</x:v>
      </x:c>
      <x:c r="G31" s="27" t="str">
        <x:v>0402WGF1002TCE</x:v>
      </x:c>
      <x:c r="H31" s="27" t="str">
        <x:v>SMT</x:v>
      </x:c>
      <x:c r="I31" s="29" t="str"/>
      <x:c r="J31" s="1"/>
      <x:c r="K31" s="1"/>
      <x:c r="L31" s="1"/>
    </x:row>
    <x:row r="32" ht="22" customHeight="1">
      <x:c r="A32" s="27" t="str">
        <x:v>4.7 k</x:v>
      </x:c>
      <x:c r="B32" s="27" t="str">
        <x:v>R7</x:v>
      </x:c>
      <x:c r="C32" s="27" t="str">
        <x:v>0402</x:v>
      </x:c>
      <x:c r="D32" s="27" t="str">
        <x:v>C25900</x:v>
      </x:c>
      <x:c r="E32" s="28" t="n">
        <x:v>1</x:v>
      </x:c>
      <x:c r="F32" s="27" t="str">
        <x:v>UNI-ROYAL</x:v>
      </x:c>
      <x:c r="G32" s="27" t="str">
        <x:v>0402WGF4701TCE</x:v>
      </x:c>
      <x:c r="H32" s="27" t="str">
        <x:v>SMT</x:v>
      </x:c>
      <x:c r="I32" s="29" t="str"/>
      <x:c r="J32" s="1"/>
      <x:c r="K32" s="1"/>
      <x:c r="L32" s="1"/>
    </x:row>
    <x:row r="33" ht="22" customHeight="1">
      <x:c r="A33" s="27" t="str">
        <x:v>100 k</x:v>
      </x:c>
      <x:c r="B33" s="27" t="str">
        <x:v>R8,R18</x:v>
      </x:c>
      <x:c r="C33" s="27" t="str">
        <x:v>0402</x:v>
      </x:c>
      <x:c r="D33" s="27" t="str">
        <x:v>C25741</x:v>
      </x:c>
      <x:c r="E33" s="28" t="n">
        <x:v>2</x:v>
      </x:c>
      <x:c r="F33" s="27" t="str">
        <x:v>UNI-ROYAL</x:v>
      </x:c>
      <x:c r="G33" s="27" t="str">
        <x:v>0402WGF1003TCE</x:v>
      </x:c>
      <x:c r="H33" s="27" t="str">
        <x:v>SMT</x:v>
      </x:c>
      <x:c r="I33" s="29" t="str"/>
      <x:c r="J33" s="1"/>
      <x:c r="K33" s="1"/>
      <x:c r="L33" s="1"/>
    </x:row>
    <x:row r="34" ht="22" customHeight="1">
      <x:c r="A34" s="27" t="str">
        <x:v>22 R</x:v>
      </x:c>
      <x:c r="B34" s="27" t="str">
        <x:v>R9,R10,R11,R12,R16,R17</x:v>
      </x:c>
      <x:c r="C34" s="27" t="str">
        <x:v>0402</x:v>
      </x:c>
      <x:c r="D34" s="27" t="str">
        <x:v>C25092</x:v>
      </x:c>
      <x:c r="E34" s="28" t="n">
        <x:v>6</x:v>
      </x:c>
      <x:c r="F34" s="27" t="str">
        <x:v>UNI-ROYAL</x:v>
      </x:c>
      <x:c r="G34" s="27" t="str">
        <x:v>0402WGF220JTCE</x:v>
      </x:c>
      <x:c r="H34" s="27" t="str">
        <x:v>SMT</x:v>
      </x:c>
      <x:c r="I34" s="29" t="str"/>
      <x:c r="J34" s="1"/>
      <x:c r="K34" s="1"/>
      <x:c r="L34" s="1"/>
    </x:row>
    <x:row r="35" ht="22" customHeight="1">
      <x:c r="A35" s="27" t="str">
        <x:v>0 R</x:v>
      </x:c>
      <x:c r="B35" s="27" t="str">
        <x:v>R14,R15</x:v>
      </x:c>
      <x:c r="C35" s="27" t="str">
        <x:v>0402</x:v>
      </x:c>
      <x:c r="D35" s="27" t="str">
        <x:v>C17168</x:v>
      </x:c>
      <x:c r="E35" s="28" t="n">
        <x:v>2</x:v>
      </x:c>
      <x:c r="F35" s="27" t="str">
        <x:v>UNI-ROYAL</x:v>
      </x:c>
      <x:c r="G35" s="27" t="str">
        <x:v>0402WGF0000TCE</x:v>
      </x:c>
      <x:c r="H35" s="27" t="str">
        <x:v>SMT</x:v>
      </x:c>
      <x:c r="I35" s="29" t="str"/>
      <x:c r="J35" s="1"/>
      <x:c r="K35" s="1"/>
      <x:c r="L35" s="1"/>
    </x:row>
    <x:row r="36" ht="22" customHeight="1">
      <x:c r="A36" s="27" t="str">
        <x:v>1 k</x:v>
      </x:c>
      <x:c r="B36" s="27" t="str">
        <x:v>R5</x:v>
      </x:c>
      <x:c r="C36" s="27" t="str">
        <x:v>0402</x:v>
      </x:c>
      <x:c r="D36" s="27" t="str">
        <x:v>C11702</x:v>
      </x:c>
      <x:c r="E36" s="28" t="n">
        <x:v>1</x:v>
      </x:c>
      <x:c r="F36" s="27" t="str">
        <x:v>UNI-ROYAL</x:v>
      </x:c>
      <x:c r="G36" s="27" t="str">
        <x:v>0402WGF1001TCE</x:v>
      </x:c>
      <x:c r="H36" s="27" t="str">
        <x:v>SMT</x:v>
      </x:c>
      <x:c r="I36" s="29" t="str"/>
      <x:c r="J36" s="1"/>
      <x:c r="K36" s="1"/>
      <x:c r="L36" s="1"/>
    </x:row>
    <x:row r="37" ht="22" customHeight="1">
      <x:c r="A37" s="27" t="str">
        <x:v>SMF5.0A</x:v>
      </x:c>
      <x:c r="B37" s="27" t="str">
        <x:v>D1</x:v>
      </x:c>
      <x:c r="C37" s="27" t="str">
        <x:v>SOD-123FL</x:v>
      </x:c>
      <x:c r="D37" s="27" t="str">
        <x:v>C1509112</x:v>
      </x:c>
      <x:c r="E37" s="28" t="n">
        <x:v>1</x:v>
      </x:c>
      <x:c r="F37" s="27" t="str">
        <x:v>JSCJ</x:v>
      </x:c>
      <x:c r="G37" s="27" t="str">
        <x:v>SMF5.0A</x:v>
      </x:c>
      <x:c r="H37" s="27" t="str">
        <x:v>SMT</x:v>
      </x:c>
      <x:c r="I37" s="29" t="str"/>
      <x:c r="J37" s="1"/>
      <x:c r="K37" s="1"/>
      <x:c r="L37" s="1"/>
    </x:row>
    <x:row r="38" ht="22" customHeight="1">
      <x:c r="A38" s="27" t="str">
        <x:v>Green LED</x:v>
      </x:c>
      <x:c r="B38" s="27" t="str">
        <x:v>D2</x:v>
      </x:c>
      <x:c r="C38" s="27" t="str">
        <x:v>0603</x:v>
      </x:c>
      <x:c r="D38" s="27" t="str">
        <x:v>C965804</x:v>
      </x:c>
      <x:c r="E38" s="28" t="n">
        <x:v>1</x:v>
      </x:c>
      <x:c r="F38" s="27" t="str">
        <x:v>XINGLIGHT</x:v>
      </x:c>
      <x:c r="G38" s="27" t="str">
        <x:v>XL-1608UGC-04</x:v>
      </x:c>
      <x:c r="H38" s="27" t="str">
        <x:v>SMT</x:v>
      </x:c>
      <x:c r="I38" s="29" t="str"/>
      <x:c r="J38" s="1"/>
      <x:c r="K38" s="1"/>
      <x:c r="L38" s="1"/>
    </x:row>
    <x:row r="39" ht="22" customHeight="1">
      <x:c r="A39" s="27" t="str">
        <x:v>Tact switch</x:v>
      </x:c>
      <x:c r="B39" s="27" t="str">
        <x:v>SW1,SW2</x:v>
      </x:c>
      <x:c r="C39" s="27" t="str">
        <x:v>3.0x2.5 mm SMD</x:v>
      </x:c>
      <x:c r="D39" s="27" t="str">
        <x:v>C72443</x:v>
      </x:c>
      <x:c r="E39" s="28" t="n">
        <x:v>2</x:v>
      </x:c>
      <x:c r="F39" s="27" t="str">
        <x:v>C&amp;K</x:v>
      </x:c>
      <x:c r="G39" s="27" t="str">
        <x:v>KMR221GLFS</x:v>
      </x:c>
      <x:c r="H39" s="27" t="str">
        <x:v>SMT</x:v>
      </x:c>
      <x:c r="I39" s="29" t="str"/>
      <x:c r="J39" s="1"/>
      <x:c r="K39" s="1"/>
      <x:c r="L39" s="1"/>
    </x:row>
    <x:row r="40" ht="22" customHeight="1">
      <x:c r="A40" s="27" t="str">
        <x:v>Test pad</x:v>
      </x:c>
      <x:c r="B40" s="27" t="str">
        <x:v>TP1,TP2,TP3,TP4,TP5,TP6</x:v>
      </x:c>
      <x:c r="C40" s="27" t="str">
        <x:v>1.0 mm pad</x:v>
      </x:c>
      <x:c r="D40" s="27" t="str"/>
      <x:c r="E40" s="28" t="n">
        <x:v>6</x:v>
      </x:c>
      <x:c r="F40" s="27" t="str">
        <x:v>-</x:v>
      </x:c>
      <x:c r="G40" s="27" t="str">
        <x:v>PCB pad</x:v>
      </x:c>
      <x:c r="H40" s="27" t="str">
        <x:v>PCB</x:v>
      </x:c>
      <x:c r="I40" s="29" t="str"/>
      <x:c r="J40" s="1"/>
      <x:c r="K40" s="1"/>
      <x:c r="L40" s="1"/>
    </x:row>
  </x:sheetData>
  <x:mergeCells>
    <x:mergeCell ref="A2:I2"/>
    <x:mergeCell ref="A3:I3"/>
  </x:mergeCells>
  <x:conditionalFormatting sqref="H6:H40">
    <x:cfRule type="containsText" dxfId="0" priority="1" operator="containsText" text="DNP"/>
    <x:cfRule type="containsText" dxfId="1" priority="2" operator="containsText" text="manual"/>
  </x:conditionalFormatting>
  <x:dataValidations count="1">
    <x:dataValidation type="whole" operator="between" sqref="L3">
      <x:formula1>1</x:formula1>
      <x:formula2>10000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12cb6bd18af49b9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5" hidden="0" customWidth="1"/>
    <x:col min="2" max="2" width="60" hidden="0" customWidth="1"/>
    <x:col min="3" max="3" width="3" hidden="0" customWidth="1"/>
    <x:col min="4" max="4" width="22" hidden="0" customWidth="1"/>
    <x:col min="5" max="5" width="19" hidden="0" customWidth="1"/>
    <x:col min="6" max="6" width="43" hidden="0" customWidth="1"/>
  </x:cols>
  <x:sheetData>
    <x:row r="1">
      <x:c r="A1" s="25"/>
      <x:c r="B1" s="25"/>
      <x:c r="C1" s="25"/>
      <x:c r="D1" s="25"/>
      <x:c r="E1" s="25"/>
      <x:c r="F1" s="25"/>
    </x:row>
    <x:row r="2">
      <x:c r="A2" s="2" t="str">
        <x:v>Build notes and first-article controls</x:v>
      </x:c>
      <x:c r="B2" s="2"/>
      <x:c r="C2" s="2"/>
      <x:c r="D2" s="2"/>
      <x:c r="E2" s="2"/>
      <x:c r="F2" s="2"/>
    </x:row>
    <x:row r="3">
      <x:c r="A3" s="1"/>
      <x:c r="B3" s="1"/>
      <x:c r="C3" s="1"/>
      <x:c r="D3" s="1"/>
      <x:c r="E3" s="1"/>
      <x:c r="F3" s="1"/>
    </x:row>
    <x:row r="4">
      <x:c r="A4" s="11" t="str">
        <x:v>PCB parameter</x:v>
      </x:c>
      <x:c r="B4" s="11" t="str">
        <x:v>Required value</x:v>
      </x:c>
      <x:c r="C4" s="1"/>
      <x:c r="D4" s="11" t="str">
        <x:v>Modem option</x:v>
      </x:c>
      <x:c r="E4" s="11" t="str">
        <x:v>PCB fit</x:v>
      </x:c>
      <x:c r="F4" s="11" t="str">
        <x:v>Action</x:v>
      </x:c>
    </x:row>
    <x:row r="5">
      <x:c r="A5" s="14" t="str">
        <x:v>PCB outline</x:v>
      </x:c>
      <x:c r="B5" s="1" t="str">
        <x:v>40 × 84 mm</x:v>
      </x:c>
      <x:c r="C5" s="1"/>
      <x:c r="D5" s="30" t="str">
        <x:v>ML307A-DSLN</x:v>
      </x:c>
      <x:c r="E5" s="31" t="str">
        <x:v>Supported</x:v>
      </x:c>
      <x:c r="F5" s="32" t="str">
        <x:v>Default BOM: C5375091</x:v>
      </x:c>
    </x:row>
    <x:row r="6">
      <x:c r="A6" s="14" t="str">
        <x:v>Layer count</x:v>
      </x:c>
      <x:c r="B6" s="1" t="str">
        <x:v>4</x:v>
      </x:c>
      <x:c r="C6" s="1"/>
      <x:c r="D6" s="33" t="str">
        <x:v>ML307A-DCLN</x:v>
      </x:c>
      <x:c r="E6" s="34" t="str">
        <x:v>Supported</x:v>
      </x:c>
      <x:c r="F6" s="35" t="str">
        <x:v>Alternative: C5362285; confirm GNSS requirement</x:v>
      </x:c>
    </x:row>
    <x:row r="7">
      <x:c r="A7" s="14" t="str">
        <x:v>Thickness</x:v>
      </x:c>
      <x:c r="B7" s="1" t="str">
        <x:v>1.6 mm</x:v>
      </x:c>
      <x:c r="C7" s="1"/>
      <x:c r="D7" s="39" t="str">
        <x:v>ML307C</x:v>
      </x:c>
      <x:c r="E7" s="40" t="str">
        <x:v>Not compatible</x:v>
      </x:c>
      <x:c r="F7" s="41" t="str">
        <x:v>Requires a separate 109-pin PCB</x:v>
      </x:c>
    </x:row>
    <x:row r="8">
      <x:c r="A8" s="14" t="str">
        <x:v>Copper</x:v>
      </x:c>
      <x:c r="B8" s="1" t="str">
        <x:v>Outer 1 oz; inner 0.5 oz</x:v>
      </x:c>
      <x:c r="C8" s="1"/>
      <x:c r="D8" s="42" t="str">
        <x:v>ML307Y</x:v>
      </x:c>
      <x:c r="E8" s="43" t="str">
        <x:v>Not compatible</x:v>
      </x:c>
      <x:c r="F8" s="44" t="str">
        <x:v>Requires a separate 109-pin PCB</x:v>
      </x:c>
    </x:row>
    <x:row r="9">
      <x:c r="A9" s="14" t="str">
        <x:v>Recommended stackup</x:v>
      </x:c>
      <x:c r="B9" s="1" t="str">
        <x:v>JLC04161H-7628</x:v>
      </x:c>
      <x:c r="C9" s="1"/>
      <x:c r="D9" s="1"/>
      <x:c r="E9" s="1"/>
      <x:c r="F9" s="1"/>
    </x:row>
    <x:row r="10">
      <x:c r="A10" s="14" t="str">
        <x:v>Surface finish</x:v>
      </x:c>
      <x:c r="B10" s="1" t="str">
        <x:v>ENIG 1U" or lead-free HASL</x:v>
      </x:c>
      <x:c r="C10" s="1"/>
      <x:c r="D10" s="1"/>
      <x:c r="E10" s="1"/>
      <x:c r="F10" s="1"/>
    </x:row>
    <x:row r="11">
      <x:c r="A11" s="14" t="str">
        <x:v>Input power</x:v>
      </x:c>
      <x:c r="B11" s="1" t="str">
        <x:v>Regulated 5 V / 2 A minimum</x:v>
      </x:c>
      <x:c r="C11" s="1"/>
      <x:c r="D11" s="1"/>
      <x:c r="E11" s="1"/>
      <x:c r="F11" s="1"/>
    </x:row>
    <x:row r="12">
      <x:c r="A12" s="14" t="str">
        <x:v>Assembly plan</x:v>
      </x:c>
      <x:c r="B12" s="1" t="str">
        <x:v>Order 5 bare PCBs; assemble 2 first articles</x:v>
      </x:c>
      <x:c r="C12" s="1"/>
      <x:c r="D12" s="1"/>
      <x:c r="E12" s="1"/>
      <x:c r="F12" s="1"/>
    </x:row>
    <x:row r="13">
      <x:c r="A13" s="1"/>
      <x:c r="B13" s="1"/>
      <x:c r="C13" s="1"/>
      <x:c r="D13" s="1"/>
      <x:c r="E13" s="1"/>
      <x:c r="F13" s="1"/>
    </x:row>
    <x:row r="14">
      <x:c r="A14" s="1"/>
      <x:c r="B14" s="1"/>
      <x:c r="C14" s="1"/>
      <x:c r="D14" s="1"/>
      <x:c r="E14" s="1"/>
      <x:c r="F14" s="1"/>
    </x:row>
    <x:row r="15">
      <x:c r="A15" s="11" t="str">
        <x:v>First-article sequence</x:v>
      </x:c>
      <x:c r="B15" s="11"/>
      <x:c r="C15" s="11"/>
      <x:c r="D15" s="11"/>
      <x:c r="E15" s="11"/>
      <x:c r="F15" s="11"/>
    </x:row>
    <x:row r="16" ht="28" customHeight="1">
      <x:c r="A16" s="50" t="n">
        <x:v>1</x:v>
      </x:c>
      <x:c r="B16" s="51" t="str">
        <x:v>Assemble USB input, 3.3 V rail and ESP32-C3 only</x:v>
      </x:c>
      <x:c r="C16" s="51" t="str">
        <x:v>Limit input to 300 mA; confirm USB enumeration and 3.20–3.40 V</x:v>
      </x:c>
      <x:c r="D16" s="51"/>
      <x:c r="E16" s="51"/>
      <x:c r="F16" s="52"/>
    </x:row>
    <x:row r="17" ht="28" customHeight="1">
      <x:c r="A17" s="53" t="n">
        <x:v>2</x:v>
      </x:c>
      <x:c r="B17" s="54" t="str">
        <x:v>Assemble the 3.8 V buck without ML307A</x:v>
      </x:c>
      <x:c r="C17" s="54" t="str">
        <x:v>Load-step 0.1 A → 1 A → 2 A; rail must stay above 3.4 V</x:v>
      </x:c>
      <x:c r="D17" s="54"/>
      <x:c r="E17" s="54"/>
      <x:c r="F17" s="55"/>
    </x:row>
    <x:row r="18" ht="28" customHeight="1">
      <x:c r="A18" s="53" t="n">
        <x:v>3</x:v>
      </x:c>
      <x:c r="B18" s="54" t="str">
        <x:v>Assemble ML307A, level translator, SIM and RF path</x:v>
      </x:c>
      <x:c r="C18" s="54" t="str">
        <x:v>Attach a 50 Ω LTE antenna before modem power-up</x:v>
      </x:c>
      <x:c r="D18" s="54"/>
      <x:c r="E18" s="54"/>
      <x:c r="F18" s="55"/>
    </x:row>
    <x:row r="19" ht="28" customHeight="1">
      <x:c r="A19" s="53" t="n">
        <x:v>4</x:v>
      </x:c>
      <x:c r="B19" s="54" t="str">
        <x:v>Check UART and SIM</x:v>
      </x:c>
      <x:c r="C19" s="54" t="str">
        <x:v>100 × AT/ATI; CPIN READY; ICCID readable</x:v>
      </x:c>
      <x:c r="D19" s="54"/>
      <x:c r="E19" s="54"/>
      <x:c r="F19" s="55"/>
    </x:row>
    <x:row r="20" ht="28" customHeight="1">
      <x:c r="A20" s="53" t="n">
        <x:v>5</x:v>
      </x:c>
      <x:c r="B20" s="54" t="str">
        <x:v>Check network and SMS</x:v>
      </x:c>
      <x:c r="C20" s="54" t="str">
        <x:v>Record PLMN/band/RSRP; 20 uplink and 20 downlink SMS</x:v>
      </x:c>
      <x:c r="D20" s="54"/>
      <x:c r="E20" s="54"/>
      <x:c r="F20" s="55"/>
    </x:row>
    <x:row r="21" ht="28" customHeight="1">
      <x:c r="A21" s="53" t="n">
        <x:v>6</x:v>
      </x:c>
      <x:c r="B21" s="54" t="str">
        <x:v>Run stability test</x:v>
      </x:c>
      <x:c r="C21" s="54" t="str">
        <x:v>24 h Wi-Fi + LTE + SMS workload without reset or memory loss</x:v>
      </x:c>
      <x:c r="D21" s="54"/>
      <x:c r="E21" s="54"/>
      <x:c r="F21" s="55"/>
    </x:row>
    <x:row r="22" ht="28" customHeight="1">
      <x:c r="A22" s="56" t="n">
        <x:v>7</x:v>
      </x:c>
      <x:c r="B22" s="57" t="str">
        <x:v>Release volume assembly</x:v>
      </x:c>
      <x:c r="C22" s="57" t="str">
        <x:v>Only after electrical, RF and thermal results are signed off</x:v>
      </x:c>
      <x:c r="D22" s="57"/>
      <x:c r="E22" s="57"/>
      <x:c r="F22" s="58"/>
    </x:row>
    <x:row r="23">
      <x:c r="A23" s="1"/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  <x:row r="25">
      <x:c r="A25" s="11" t="str">
        <x:v>Design sources</x:v>
      </x:c>
      <x:c r="B25" s="11"/>
      <x:c r="C25" s="11"/>
      <x:c r="D25" s="11"/>
      <x:c r="E25" s="11"/>
      <x:c r="F25" s="11"/>
    </x:row>
    <x:row r="26" ht="23" customHeight="1">
      <x:c r="A26" s="59" t="str">
        <x:v>ESP32-C3 hardware design guidelines</x:v>
      </x:c>
      <x:c r="B26" s="59" t="str">
        <x:v>https://documentation.espressif.com/esp-hardware-design-guidelines/en/latest/esp32c3/index.html</x:v>
      </x:c>
      <x:c r="C26" s="59"/>
      <x:c r="D26" s="59"/>
      <x:c r="E26" s="59"/>
      <x:c r="F26" s="59"/>
    </x:row>
    <x:row r="27" ht="23" customHeight="1">
      <x:c r="A27" s="59" t="str">
        <x:v>ESP32-C3-MINI-1 datasheet</x:v>
      </x:c>
      <x:c r="B27" s="59" t="str">
        <x:v>https://documentation.espressif.com/esp32-c3-mini-1_datasheet_en.html</x:v>
      </x:c>
      <x:c r="C27" s="59"/>
      <x:c r="D27" s="59"/>
      <x:c r="E27" s="59"/>
      <x:c r="F27" s="59"/>
    </x:row>
    <x:row r="28" ht="23" customHeight="1">
      <x:c r="A28" s="59" t="str">
        <x:v>JLCPCB impedance stackups</x:v>
      </x:c>
      <x:c r="B28" s="59" t="str">
        <x:v>https://jlcpcb.com/impedance</x:v>
      </x:c>
      <x:c r="C28" s="59"/>
      <x:c r="D28" s="59"/>
      <x:c r="E28" s="59"/>
      <x:c r="F28" s="59"/>
    </x:row>
    <x:row r="29" ht="23" customHeight="1">
      <x:c r="A29" s="59" t="str">
        <x:v>ML307A Hardware Design Manual</x:v>
      </x:c>
      <x:c r="B29" s="59" t="str">
        <x:v>Obtain the current controlled copy from the module supplier</x:v>
      </x:c>
      <x:c r="C29" s="59"/>
      <x:c r="D29" s="59"/>
      <x:c r="E29" s="59"/>
      <x:c r="F29" s="59"/>
    </x:row>
    <x:row r="30">
      <x:c r="A30" s="1"/>
      <x:c r="B30" s="1"/>
      <x:c r="C30" s="1"/>
      <x:c r="D30" s="1"/>
      <x:c r="E30" s="1"/>
      <x:c r="F30" s="1"/>
    </x:row>
  </x:sheetData>
  <x:mergeCells>
    <x:mergeCell ref="A2:F2"/>
    <x:mergeCell ref="A15:F15"/>
    <x:mergeCell ref="C16:F16"/>
    <x:mergeCell ref="C17:F17"/>
    <x:mergeCell ref="C18:F18"/>
    <x:mergeCell ref="C19:F19"/>
    <x:mergeCell ref="C20:F20"/>
    <x:mergeCell ref="C21:F21"/>
    <x:mergeCell ref="C22:F22"/>
    <x:mergeCell ref="A25:F25"/>
    <x:mergeCell ref="B26:F26"/>
    <x:mergeCell ref="B27:F27"/>
    <x:mergeCell ref="B28:F28"/>
    <x:mergeCell ref="B29:F29"/>
  </x:mergeCells>
  <x:pageMargins left="0.7" right="0.7" top="0.75" bottom="0.75" header="0.3" footer="0.3"/>
</x:worksheet>
</file>